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RXT31\Downloads\"/>
    </mc:Choice>
  </mc:AlternateContent>
  <xr:revisionPtr revIDLastSave="0" documentId="13_ncr:1_{E46A3427-FB7A-4801-99A6-99ABE718C848}" xr6:coauthVersionLast="47" xr6:coauthVersionMax="47" xr10:uidLastSave="{00000000-0000-0000-0000-000000000000}"/>
  <bookViews>
    <workbookView xWindow="-110" yWindow="-110" windowWidth="19420" windowHeight="11500" xr2:uid="{1FF11CAE-6228-4904-854E-632B8F482F0C}"/>
  </bookViews>
  <sheets>
    <sheet name="Task Mapping" sheetId="1" r:id="rId1"/>
    <sheet name="Sheet2" sheetId="2" state="hidden" r:id="rId2"/>
  </sheets>
  <definedNames>
    <definedName name="_xlnm._FilterDatabase" localSheetId="1" hidden="1">Sheet2!$V$1:$X$6</definedName>
    <definedName name="Consistance">Sheet2!$D$2:$D$5</definedName>
    <definedName name="Data">Sheet2!$M$2:$M$5</definedName>
    <definedName name="Risk">Sheet2!$I$2:$I$5</definedName>
    <definedName name="Speed">Sheet2!$R$2:$R$5</definedName>
    <definedName name="Volume">Sheet2!$A$2:$A$5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2" i="2"/>
  <c r="D6" i="1"/>
  <c r="D7" i="1"/>
  <c r="D5" i="1"/>
  <c r="D4" i="1"/>
  <c r="D3" i="1"/>
  <c r="H3" i="2"/>
  <c r="H4" i="2"/>
  <c r="H5" i="2"/>
  <c r="H2" i="2"/>
  <c r="L3" i="2"/>
  <c r="L4" i="2"/>
  <c r="L5" i="2"/>
  <c r="L2" i="2"/>
  <c r="Q3" i="2"/>
  <c r="Q4" i="2"/>
  <c r="Q5" i="2"/>
  <c r="Q2" i="2"/>
  <c r="D13" i="1" l="1"/>
  <c r="C15" i="1" s="1"/>
</calcChain>
</file>

<file path=xl/sharedStrings.xml><?xml version="1.0" encoding="utf-8"?>
<sst xmlns="http://schemas.openxmlformats.org/spreadsheetml/2006/main" count="71" uniqueCount="65">
  <si>
    <t>Field</t>
  </si>
  <si>
    <t>Example Answer</t>
  </si>
  <si>
    <t>Level</t>
  </si>
  <si>
    <t>Score</t>
  </si>
  <si>
    <t>Task Name</t>
  </si>
  <si>
    <t>Order Follow-up</t>
  </si>
  <si>
    <t>Volume</t>
  </si>
  <si>
    <t>200 tickets / month</t>
  </si>
  <si>
    <t xml:space="preserve">1,000–10,000 </t>
  </si>
  <si>
    <t>Consistency</t>
  </si>
  <si>
    <t>70 % identical / 30 % exceptions</t>
  </si>
  <si>
    <t>Clear patterns, defined exceptions</t>
  </si>
  <si>
    <t>Risk Impact</t>
  </si>
  <si>
    <t>Low – incorrect update causes re-call</t>
  </si>
  <si>
    <t>Catastrophic</t>
  </si>
  <si>
    <t>Data Location</t>
  </si>
  <si>
    <t>CRM + Email</t>
  </si>
  <si>
    <t>Scattered/unstructured</t>
  </si>
  <si>
    <t>Speed (How fast does this need to happen)</t>
  </si>
  <si>
    <t>Can wait 2-3 days</t>
  </si>
  <si>
    <t>Can wait days</t>
  </si>
  <si>
    <t>Time Spent</t>
  </si>
  <si>
    <t>15 min per case</t>
  </si>
  <si>
    <t>Pain Points</t>
  </si>
  <si>
    <t>Re-typing / searching for attachments</t>
  </si>
  <si>
    <t>Does it need judgement</t>
  </si>
  <si>
    <t>Needs human judgement for discounts</t>
  </si>
  <si>
    <t>Possible AI Assist</t>
  </si>
  <si>
    <t>Copilot draft response / auto-search docs</t>
  </si>
  <si>
    <t>Level Guess</t>
  </si>
  <si>
    <t>Level 3 – Tool-Augmented Assistant</t>
  </si>
  <si>
    <t>Total Score</t>
  </si>
  <si>
    <t>Further context</t>
  </si>
  <si>
    <t>Project Team Member Judgement</t>
  </si>
  <si>
    <t>Consistance</t>
  </si>
  <si>
    <t>Risk</t>
  </si>
  <si>
    <t>Data</t>
  </si>
  <si>
    <t>Speed</t>
  </si>
  <si>
    <t>Score Interpretation</t>
  </si>
  <si>
    <t>Min Level</t>
  </si>
  <si>
    <t xml:space="preserve">Under 100 </t>
  </si>
  <si>
    <t>Every case unique</t>
  </si>
  <si>
    <t xml:space="preserve">18–20 </t>
  </si>
  <si>
    <t xml:space="preserve"> Level 6 (Fully Autonomous)</t>
  </si>
  <si>
    <t xml:space="preserve">100–1,000 </t>
  </si>
  <si>
    <t>Patterns with exceptions</t>
  </si>
  <si>
    <t>Costly but fixable</t>
  </si>
  <si>
    <t>Needs interpretation</t>
  </si>
  <si>
    <t>Same-day</t>
  </si>
  <si>
    <t xml:space="preserve">15–17 </t>
  </si>
  <si>
    <t xml:space="preserve"> Level 5 (Semi-Autonomous)</t>
  </si>
  <si>
    <t>Noticeable but not critical</t>
  </si>
  <si>
    <t>Accessible via APIs</t>
  </si>
  <si>
    <t>Hours</t>
  </si>
  <si>
    <t xml:space="preserve">12–14 </t>
  </si>
  <si>
    <t xml:space="preserve"> Level 4 (Structured Workflow)</t>
  </si>
  <si>
    <t xml:space="preserve">Over 10,000 </t>
  </si>
  <si>
    <t>Highly standardized</t>
  </si>
  <si>
    <t>Minor</t>
  </si>
  <si>
    <t>Real-time and comprehensive</t>
  </si>
  <si>
    <t>Instant</t>
  </si>
  <si>
    <t>8–11</t>
  </si>
  <si>
    <t xml:space="preserve"> Level 3 (Tool-Augmented Assistant)</t>
  </si>
  <si>
    <t xml:space="preserve">5–7 </t>
  </si>
  <si>
    <t xml:space="preserve"> Level 1–2 (Advisor / Copilot)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</si>
</sst>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0"/>
      <color theme="0"/>
      <name val="Segoe UI Emoji"/>
      <family val="2"/>
    </font>
    <font>
      <sz val="11"/>
      <color theme="1"/>
      <name val="Segoe UI Emoji"/>
      <family val="2"/>
    </font>
    <font>
      <sz val="10"/>
      <color theme="1"/>
      <name val="Segoe UI Emoji"/>
      <family val="2"/>
    </font>
    <font>
      <sz val="10"/>
      <color theme="0"/>
      <name val="Segoe UI Emoji"/>
      <family val="2"/>
    </font>
  </fonts>
  <fills count="5">
    <fill>
      <patternFill patternType="none"/>
    </fill>
    <fill>
      <patternFill patternType="gray125"/>
    </fill>
    <fill>
      <patternFill patternType="solid">
        <fgColor rgb="FF1D1848"/>
        <bgColor indexed="64"/>
      </patternFill>
    </fill>
    <fill>
      <patternFill patternType="solid">
        <fgColor rgb="FF8E8CA4"/>
        <bgColor indexed="64"/>
      </patternFill>
    </fill>
    <fill>
      <patternFill patternType="solid">
        <fgColor rgb="FFFDD78B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Protection="1">
      <protection locked="0"/>
    </xf>
    <xf numFmtId="0" fontId="4" fillId="2" borderId="1" xfId="0" applyFont="1" applyFill="1" applyBorder="1"/>
    <xf numFmtId="0" fontId="4" fillId="2" borderId="3" xfId="0" applyFont="1" applyFill="1" applyBorder="1"/>
    <xf numFmtId="0" fontId="5" fillId="0" borderId="0" xfId="0" applyFont="1" applyProtection="1">
      <protection locked="0"/>
    </xf>
    <xf numFmtId="0" fontId="6" fillId="0" borderId="2" xfId="0" applyFont="1" applyBorder="1"/>
    <xf numFmtId="0" fontId="6" fillId="0" borderId="4" xfId="0" applyFont="1" applyBorder="1"/>
    <xf numFmtId="0" fontId="6" fillId="0" borderId="4" xfId="0" applyFont="1" applyBorder="1" applyProtection="1">
      <protection locked="0"/>
    </xf>
    <xf numFmtId="0" fontId="6" fillId="3" borderId="2" xfId="0" applyFont="1" applyFill="1" applyBorder="1"/>
    <xf numFmtId="0" fontId="6" fillId="3" borderId="4" xfId="0" applyFont="1" applyFill="1" applyBorder="1"/>
    <xf numFmtId="0" fontId="6" fillId="4" borderId="2" xfId="0" applyFont="1" applyFill="1" applyBorder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0" borderId="6" xfId="0" applyFont="1" applyBorder="1" applyProtection="1">
      <protection locked="0"/>
    </xf>
    <xf numFmtId="0" fontId="6" fillId="0" borderId="0" xfId="0" applyFont="1"/>
    <xf numFmtId="0" fontId="6" fillId="0" borderId="7" xfId="0" applyFont="1" applyBorder="1"/>
    <xf numFmtId="0" fontId="7" fillId="2" borderId="4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78B"/>
      <color rgb="FF8E8CA4"/>
      <color rgb="FF1D1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88CF-DA08-4F3B-AFB1-446AF2B44807}">
  <dimension ref="A1:E20"/>
  <sheetViews>
    <sheetView tabSelected="1" workbookViewId="0">
      <selection activeCell="G8" sqref="G8"/>
    </sheetView>
  </sheetViews>
  <sheetFormatPr defaultColWidth="8.85546875" defaultRowHeight="15"/>
  <cols>
    <col min="1" max="1" width="34.85546875" style="5" bestFit="1" customWidth="1"/>
    <col min="2" max="2" width="38.42578125" style="5" bestFit="1" customWidth="1"/>
    <col min="3" max="3" width="44.28515625" style="5" customWidth="1"/>
    <col min="4" max="4" width="9.42578125" style="5" customWidth="1"/>
    <col min="5" max="16384" width="8.85546875" style="5"/>
  </cols>
  <sheetData>
    <row r="1" spans="1:5" ht="17.25" thickBot="1">
      <c r="A1" s="6" t="s">
        <v>0</v>
      </c>
      <c r="B1" s="7" t="s">
        <v>1</v>
      </c>
      <c r="C1" s="7" t="s">
        <v>2</v>
      </c>
      <c r="D1" s="7" t="s">
        <v>3</v>
      </c>
      <c r="E1" s="8"/>
    </row>
    <row r="2" spans="1:5" ht="16.5">
      <c r="A2" s="9" t="s">
        <v>4</v>
      </c>
      <c r="B2" s="10" t="s">
        <v>5</v>
      </c>
      <c r="C2" s="11"/>
      <c r="D2" s="10"/>
      <c r="E2" s="8"/>
    </row>
    <row r="3" spans="1:5" ht="16.5">
      <c r="A3" s="9" t="s">
        <v>6</v>
      </c>
      <c r="B3" s="10" t="s">
        <v>7</v>
      </c>
      <c r="C3" s="11" t="s">
        <v>8</v>
      </c>
      <c r="D3" s="10">
        <f>IFERROR(VLOOKUP(C3,Sheet2!$A$1:$B$10,2,0),"")</f>
        <v>3</v>
      </c>
      <c r="E3" s="8"/>
    </row>
    <row r="4" spans="1:5" ht="16.5">
      <c r="A4" s="9" t="s">
        <v>9</v>
      </c>
      <c r="B4" s="10" t="s">
        <v>10</v>
      </c>
      <c r="C4" s="11" t="s">
        <v>11</v>
      </c>
      <c r="D4" s="10">
        <f>IFERROR(VLOOKUP(C4,Sheet2!$D$1:$E$9,2,0),"")</f>
        <v>3</v>
      </c>
      <c r="E4" s="8"/>
    </row>
    <row r="5" spans="1:5" ht="16.5">
      <c r="A5" s="9" t="s">
        <v>12</v>
      </c>
      <c r="B5" s="10" t="s">
        <v>13</v>
      </c>
      <c r="C5" s="11" t="s">
        <v>14</v>
      </c>
      <c r="D5" s="10">
        <f>IFERROR(VLOOKUP(C5,Sheet2!$I:$J,2,0),"")</f>
        <v>1</v>
      </c>
      <c r="E5" s="8"/>
    </row>
    <row r="6" spans="1:5" ht="16.5">
      <c r="A6" s="9" t="s">
        <v>15</v>
      </c>
      <c r="B6" s="10" t="s">
        <v>16</v>
      </c>
      <c r="C6" s="11" t="s">
        <v>17</v>
      </c>
      <c r="D6" s="10">
        <f>IFERROR(VLOOKUP(C6,Sheet2!$M:$N,2,0),"")</f>
        <v>1</v>
      </c>
      <c r="E6" s="8"/>
    </row>
    <row r="7" spans="1:5" ht="16.5">
      <c r="A7" s="9" t="s">
        <v>18</v>
      </c>
      <c r="B7" s="10" t="s">
        <v>19</v>
      </c>
      <c r="C7" s="11" t="s">
        <v>20</v>
      </c>
      <c r="D7" s="10">
        <f>IFERROR(VLOOKUP(C7,Sheet2!$R:$S,2,0),"")</f>
        <v>1</v>
      </c>
      <c r="E7" s="8"/>
    </row>
    <row r="8" spans="1:5" ht="16.5">
      <c r="A8" s="12" t="s">
        <v>21</v>
      </c>
      <c r="B8" s="13" t="s">
        <v>22</v>
      </c>
      <c r="C8" s="11"/>
      <c r="D8" s="11"/>
      <c r="E8" s="8"/>
    </row>
    <row r="9" spans="1:5" ht="16.5">
      <c r="A9" s="12" t="s">
        <v>23</v>
      </c>
      <c r="B9" s="13" t="s">
        <v>24</v>
      </c>
      <c r="C9" s="11"/>
      <c r="D9" s="11"/>
      <c r="E9" s="8"/>
    </row>
    <row r="10" spans="1:5" ht="16.5">
      <c r="A10" s="12" t="s">
        <v>25</v>
      </c>
      <c r="B10" s="13" t="s">
        <v>26</v>
      </c>
      <c r="C10" s="11"/>
      <c r="D10" s="11"/>
      <c r="E10" s="8"/>
    </row>
    <row r="11" spans="1:5" ht="16.5">
      <c r="A11" s="14" t="s">
        <v>27</v>
      </c>
      <c r="B11" s="15" t="s">
        <v>28</v>
      </c>
      <c r="C11" s="11"/>
      <c r="D11" s="11"/>
      <c r="E11" s="8"/>
    </row>
    <row r="12" spans="1:5" ht="16.5">
      <c r="A12" s="16" t="s">
        <v>29</v>
      </c>
      <c r="B12" s="17" t="s">
        <v>30</v>
      </c>
      <c r="C12" s="18"/>
      <c r="D12" s="18"/>
      <c r="E12" s="8"/>
    </row>
    <row r="13" spans="1:5" ht="16.5">
      <c r="A13" s="19"/>
      <c r="B13" s="19"/>
      <c r="C13" s="20" t="s">
        <v>31</v>
      </c>
      <c r="D13" s="20">
        <f>SUM(D3:D7)</f>
        <v>9</v>
      </c>
      <c r="E13" s="8"/>
    </row>
    <row r="14" spans="1:5" ht="16.5">
      <c r="A14" s="19"/>
      <c r="B14" s="19"/>
      <c r="C14" s="19"/>
      <c r="D14" s="19"/>
      <c r="E14" s="8"/>
    </row>
    <row r="15" spans="1:5" ht="16.5">
      <c r="A15" s="19"/>
      <c r="B15" s="19"/>
      <c r="C15" s="21" t="str">
        <f>_xlfn.XLOOKUP($D13,Sheet2!$W$2:$W$6,Sheet2!$X$2:$X$6,"Not Found",-1)</f>
        <v xml:space="preserve"> Level 3 (Tool-Augmented Assistant)</v>
      </c>
      <c r="D15" s="19"/>
      <c r="E15" s="8"/>
    </row>
    <row r="16" spans="1:5">
      <c r="A16"/>
      <c r="B16" s="4"/>
      <c r="C16"/>
      <c r="D16"/>
    </row>
    <row r="17" spans="1:4">
      <c r="A17"/>
      <c r="B17" s="4"/>
      <c r="C17"/>
      <c r="D17"/>
    </row>
    <row r="18" spans="1:4" ht="16.5">
      <c r="A18" s="22"/>
      <c r="B18" s="22"/>
      <c r="C18"/>
      <c r="D18"/>
    </row>
    <row r="19" spans="1:4">
      <c r="A19" s="12"/>
      <c r="B19" s="19" t="s">
        <v>32</v>
      </c>
      <c r="C19"/>
      <c r="D19"/>
    </row>
    <row r="20" spans="1:4">
      <c r="A20" s="14"/>
      <c r="B20" s="19" t="s">
        <v>33</v>
      </c>
      <c r="C20"/>
      <c r="D20"/>
    </row>
  </sheetData>
  <sheetProtection algorithmName="SHA-512" hashValue="BuPxl5momAIbdAmzYaHF+uxN0LIjn4D0DD4f5XYIJzfdAIXaaTogM1Ns9nqf4Aqb/qpNqaVotTlG31n+YMQLag==" saltValue="5c/qpx2NLSFAMctkdO1MaA==" spinCount="100000" sheet="1" objects="1" scenarios="1" formatCells="0" formatColumns="0" formatRows="0" autoFilter="0"/>
  <dataValidations disablePrompts="1" count="5">
    <dataValidation type="list" allowBlank="1" showInputMessage="1" showErrorMessage="1" sqref="C3" xr:uid="{EB65B5F6-74C3-4EA6-AC59-6B3AC1271510}">
      <formula1>Volume</formula1>
    </dataValidation>
    <dataValidation type="list" allowBlank="1" showInputMessage="1" showErrorMessage="1" sqref="C4" xr:uid="{889501A8-A146-4714-8E7C-FA9010792797}">
      <formula1>Consistance</formula1>
    </dataValidation>
    <dataValidation type="list" allowBlank="1" showInputMessage="1" showErrorMessage="1" sqref="C5" xr:uid="{9246DB16-A254-4753-B65E-D305627AB9FB}">
      <formula1>Risk</formula1>
    </dataValidation>
    <dataValidation type="list" allowBlank="1" showInputMessage="1" showErrorMessage="1" sqref="C6" xr:uid="{220EC87D-E80C-46EC-BEA5-AA7BD2C34038}">
      <formula1>Data</formula1>
    </dataValidation>
    <dataValidation type="list" allowBlank="1" showInputMessage="1" showErrorMessage="1" sqref="C7" xr:uid="{4A0B5EF6-6FF3-404F-8F94-D2E7D1162758}">
      <formula1>Speed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8088-A22A-4FDE-BB38-669E572B6DF6}">
  <dimension ref="A1:X6"/>
  <sheetViews>
    <sheetView topLeftCell="J1" workbookViewId="0">
      <selection activeCell="X2" sqref="X2:X6"/>
    </sheetView>
  </sheetViews>
  <sheetFormatPr defaultRowHeight="15"/>
  <cols>
    <col min="1" max="1" width="13.5703125" customWidth="1"/>
    <col min="2" max="2" width="2" bestFit="1" customWidth="1"/>
    <col min="4" max="4" width="30.7109375" customWidth="1"/>
    <col min="5" max="5" width="2" bestFit="1" customWidth="1"/>
    <col min="9" max="9" width="25.42578125" bestFit="1" customWidth="1"/>
    <col min="10" max="10" width="2" bestFit="1" customWidth="1"/>
    <col min="13" max="13" width="29.42578125" bestFit="1" customWidth="1"/>
    <col min="14" max="14" width="2" bestFit="1" customWidth="1"/>
    <col min="18" max="18" width="14" bestFit="1" customWidth="1"/>
    <col min="19" max="19" width="2" bestFit="1" customWidth="1"/>
    <col min="22" max="22" width="18" customWidth="1"/>
    <col min="23" max="23" width="11.28515625" bestFit="1" customWidth="1"/>
    <col min="24" max="24" width="31.7109375" bestFit="1" customWidth="1"/>
  </cols>
  <sheetData>
    <row r="1" spans="1:24">
      <c r="A1" t="s">
        <v>6</v>
      </c>
      <c r="D1" t="s">
        <v>34</v>
      </c>
      <c r="I1" t="s">
        <v>35</v>
      </c>
      <c r="M1" t="s">
        <v>36</v>
      </c>
      <c r="R1" t="s">
        <v>37</v>
      </c>
      <c r="V1" t="s">
        <v>38</v>
      </c>
      <c r="W1" t="s">
        <v>39</v>
      </c>
    </row>
    <row r="2" spans="1:24">
      <c r="A2" s="1" t="s">
        <v>40</v>
      </c>
      <c r="B2">
        <v>1</v>
      </c>
      <c r="D2" s="2" t="s">
        <v>41</v>
      </c>
      <c r="E2">
        <v>1</v>
      </c>
      <c r="H2" t="str">
        <f>TRIM(I2)</f>
        <v>Catastrophic</v>
      </c>
      <c r="I2" s="1" t="s">
        <v>14</v>
      </c>
      <c r="J2">
        <v>1</v>
      </c>
      <c r="L2" t="str">
        <f>TRIM(M2)</f>
        <v>Scattered/unstructured</v>
      </c>
      <c r="M2" s="1" t="s">
        <v>17</v>
      </c>
      <c r="N2">
        <v>1</v>
      </c>
      <c r="Q2" t="str">
        <f>TRIM(R2)</f>
        <v>Can wait days</v>
      </c>
      <c r="R2" s="1" t="s">
        <v>20</v>
      </c>
      <c r="S2">
        <v>1</v>
      </c>
      <c r="V2" s="3" t="s">
        <v>42</v>
      </c>
      <c r="W2">
        <f>VALUE(TRIM(LEFT(V2,FIND("–",V2)-1)))</f>
        <v>18</v>
      </c>
      <c r="X2" t="s">
        <v>43</v>
      </c>
    </row>
    <row r="3" spans="1:24">
      <c r="A3" s="1" t="s">
        <v>44</v>
      </c>
      <c r="B3">
        <v>2</v>
      </c>
      <c r="D3" s="2" t="s">
        <v>45</v>
      </c>
      <c r="E3">
        <v>2</v>
      </c>
      <c r="H3" t="str">
        <f t="shared" ref="H3:H5" si="0">TRIM(I3)</f>
        <v>Costly but fixable</v>
      </c>
      <c r="I3" s="1" t="s">
        <v>46</v>
      </c>
      <c r="J3">
        <v>2</v>
      </c>
      <c r="L3" t="str">
        <f t="shared" ref="L3:L5" si="1">TRIM(M3)</f>
        <v>Needs interpretation</v>
      </c>
      <c r="M3" s="1" t="s">
        <v>47</v>
      </c>
      <c r="N3">
        <v>2</v>
      </c>
      <c r="Q3" t="str">
        <f t="shared" ref="Q3:Q5" si="2">TRIM(R3)</f>
        <v>Same-day</v>
      </c>
      <c r="R3" s="1" t="s">
        <v>48</v>
      </c>
      <c r="S3">
        <v>2</v>
      </c>
      <c r="V3" s="3" t="s">
        <v>49</v>
      </c>
      <c r="W3">
        <f>VALUE(TRIM(LEFT(V3,FIND("–",V3)-1)))</f>
        <v>15</v>
      </c>
      <c r="X3" t="s">
        <v>50</v>
      </c>
    </row>
    <row r="4" spans="1:24" ht="30">
      <c r="A4" s="1" t="s">
        <v>8</v>
      </c>
      <c r="B4">
        <v>3</v>
      </c>
      <c r="D4" s="2" t="s">
        <v>11</v>
      </c>
      <c r="E4">
        <v>3</v>
      </c>
      <c r="H4" t="str">
        <f t="shared" si="0"/>
        <v>Noticeable but not critical</v>
      </c>
      <c r="I4" s="1" t="s">
        <v>51</v>
      </c>
      <c r="J4">
        <v>3</v>
      </c>
      <c r="L4" t="str">
        <f t="shared" si="1"/>
        <v>Accessible via APIs</v>
      </c>
      <c r="M4" s="1" t="s">
        <v>52</v>
      </c>
      <c r="N4">
        <v>3</v>
      </c>
      <c r="Q4" t="str">
        <f t="shared" si="2"/>
        <v>Hours</v>
      </c>
      <c r="R4" s="1" t="s">
        <v>53</v>
      </c>
      <c r="S4">
        <v>3</v>
      </c>
      <c r="V4" s="3" t="s">
        <v>54</v>
      </c>
      <c r="W4">
        <f>VALUE(TRIM(LEFT(V4,FIND("–",V4)-1)))</f>
        <v>12</v>
      </c>
      <c r="X4" t="s">
        <v>55</v>
      </c>
    </row>
    <row r="5" spans="1:24">
      <c r="A5" s="1" t="s">
        <v>56</v>
      </c>
      <c r="B5">
        <v>4</v>
      </c>
      <c r="D5" s="2" t="s">
        <v>57</v>
      </c>
      <c r="E5">
        <v>4</v>
      </c>
      <c r="H5" t="str">
        <f t="shared" si="0"/>
        <v>Minor</v>
      </c>
      <c r="I5" s="1" t="s">
        <v>58</v>
      </c>
      <c r="J5">
        <v>4</v>
      </c>
      <c r="L5" t="str">
        <f t="shared" si="1"/>
        <v>Real-time and comprehensive</v>
      </c>
      <c r="M5" s="1" t="s">
        <v>59</v>
      </c>
      <c r="N5">
        <v>4</v>
      </c>
      <c r="Q5" t="str">
        <f t="shared" si="2"/>
        <v>Instant</v>
      </c>
      <c r="R5" s="1" t="s">
        <v>60</v>
      </c>
      <c r="S5">
        <v>4</v>
      </c>
      <c r="V5" s="3" t="s">
        <v>61</v>
      </c>
      <c r="W5">
        <f>VALUE(TRIM(LEFT(V5,FIND("–",V5)-1)))</f>
        <v>8</v>
      </c>
      <c r="X5" t="s">
        <v>62</v>
      </c>
    </row>
    <row r="6" spans="1:24">
      <c r="V6" s="3" t="s">
        <v>63</v>
      </c>
      <c r="W6">
        <f>VALUE(TRIM(LEFT(V6,FIND("–",V6)-1)))</f>
        <v>5</v>
      </c>
      <c r="X6" t="s">
        <v>64</v>
      </c>
    </row>
  </sheetData>
  <sheetProtection algorithmName="SHA-512" hashValue="0cAbnDNOzwXxGzep0wTh2wnmX90lhITh69nqjD7rFZFHTmueS1HKOAvE6JewKJPu3k2DBGhDyUg5qhNDEsJShA==" saltValue="5U+OOgi5f/Is325gT4vrqw==" spinCount="100000" sheet="1" objects="1" scenarios="1"/>
  <autoFilter ref="V1:X6" xr:uid="{C9878088-A22A-4FDE-BB38-669E572B6DF6}">
    <sortState xmlns:xlrd2="http://schemas.microsoft.com/office/spreadsheetml/2017/richdata2" ref="V2:X6">
      <sortCondition descending="1" ref="W1:W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95CB4D9AEC88468A5E95EFB53A5E9D" ma:contentTypeVersion="20" ma:contentTypeDescription="Create a new document." ma:contentTypeScope="" ma:versionID="0d1020498f194441a3a25dc2f7d752f2">
  <xsd:schema xmlns:xsd="http://www.w3.org/2001/XMLSchema" xmlns:xs="http://www.w3.org/2001/XMLSchema" xmlns:p="http://schemas.microsoft.com/office/2006/metadata/properties" xmlns:ns2="94824648-75ef-4892-8a3b-170647182657" xmlns:ns3="a74b8143-36bc-4332-b8be-ec64b415cafe" targetNamespace="http://schemas.microsoft.com/office/2006/metadata/properties" ma:root="true" ma:fieldsID="4a3463e364de74276b16a96cf127384d" ns2:_="" ns3:_="">
    <xsd:import namespace="94824648-75ef-4892-8a3b-170647182657"/>
    <xsd:import namespace="a74b8143-36bc-4332-b8be-ec64b415c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24648-75ef-4892-8a3b-170647182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e695aba-dba5-4e8d-a11c-23f5367ccc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b8143-36bc-4332-b8be-ec64b415ca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d5df46-3b58-416d-b84f-3f65fda8dbc4}" ma:internalName="TaxCatchAll" ma:showField="CatchAllData" ma:web="a74b8143-36bc-4332-b8be-ec64b415ca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b8143-36bc-4332-b8be-ec64b415cafe" xsi:nil="true"/>
    <lcf76f155ced4ddcb4097134ff3c332f xmlns="94824648-75ef-4892-8a3b-17064718265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7C5951-C915-470D-A0DD-7B66B0CEBBF7}"/>
</file>

<file path=customXml/itemProps2.xml><?xml version="1.0" encoding="utf-8"?>
<ds:datastoreItem xmlns:ds="http://schemas.openxmlformats.org/officeDocument/2006/customXml" ds:itemID="{476FC6FB-D1C5-4289-B097-355A31D8D6CB}"/>
</file>

<file path=customXml/itemProps3.xml><?xml version="1.0" encoding="utf-8"?>
<ds:datastoreItem xmlns:ds="http://schemas.openxmlformats.org/officeDocument/2006/customXml" ds:itemID="{5AEB13F6-6DB3-45DE-8400-32F635CEC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Tawde</dc:creator>
  <cp:keywords/>
  <dc:description/>
  <cp:lastModifiedBy>Jacqueline Southam</cp:lastModifiedBy>
  <cp:revision/>
  <dcterms:created xsi:type="dcterms:W3CDTF">2025-11-05T00:43:28Z</dcterms:created>
  <dcterms:modified xsi:type="dcterms:W3CDTF">2025-11-05T23:54:42Z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0x010100BF95CB4D9AEC88468A5E95EFB53A5E9D</vt:lpwstr>
  </property>
  <property fmtid="{D5CDD505-2E9C-101B-9397-08002B2CF9AE}" pid="3" name="MediaServiceImageTags">
    <vt:lpwstr/>
  </property>
</Properties>
</file>